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7" i="1" l="1"/>
  <c r="G27" i="1"/>
  <c r="H27" i="1"/>
  <c r="C27" i="1"/>
  <c r="D27" i="1"/>
  <c r="B27" i="1"/>
  <c r="F29" i="1"/>
  <c r="G29" i="1"/>
  <c r="H29" i="1"/>
  <c r="C29" i="1"/>
  <c r="D29" i="1"/>
  <c r="B29" i="1"/>
  <c r="C25" i="1"/>
  <c r="D25" i="1"/>
  <c r="F25" i="1"/>
  <c r="G25" i="1"/>
  <c r="H25" i="1"/>
  <c r="B25" i="1"/>
</calcChain>
</file>

<file path=xl/sharedStrings.xml><?xml version="1.0" encoding="utf-8"?>
<sst xmlns="http://schemas.openxmlformats.org/spreadsheetml/2006/main" count="35" uniqueCount="22">
  <si>
    <t>50s</t>
    <phoneticPr fontId="1" type="noConversion"/>
  </si>
  <si>
    <t>100s</t>
    <phoneticPr fontId="1" type="noConversion"/>
  </si>
  <si>
    <t>150s</t>
    <phoneticPr fontId="1" type="noConversion"/>
  </si>
  <si>
    <t>200s</t>
    <phoneticPr fontId="1" type="noConversion"/>
  </si>
  <si>
    <t>250s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</si>
  <si>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</si>
  <si>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</si>
  <si>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</si>
  <si>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vx</t>
    <phoneticPr fontId="1" type="noConversion"/>
  </si>
  <si>
    <t>vy</t>
    <phoneticPr fontId="1" type="noConversion"/>
  </si>
  <si>
    <t>vz</t>
    <phoneticPr fontId="1" type="noConversion"/>
  </si>
  <si>
    <t>10000s</t>
    <phoneticPr fontId="1" type="noConversion"/>
  </si>
  <si>
    <t>初始位置</t>
    <phoneticPr fontId="1" type="noConversion"/>
  </si>
  <si>
    <t>h=0.05</t>
    <phoneticPr fontId="1" type="noConversion"/>
  </si>
  <si>
    <t>h=0.5</t>
    <phoneticPr fontId="1" type="noConversion"/>
  </si>
  <si>
    <t>误差</t>
    <phoneticPr fontId="1" type="noConversion"/>
  </si>
  <si>
    <t>09卫星</t>
    <phoneticPr fontId="1" type="noConversion"/>
  </si>
  <si>
    <t>欧拉法</t>
    <phoneticPr fontId="1" type="noConversion"/>
  </si>
  <si>
    <t>h=0.1</t>
    <phoneticPr fontId="1" type="noConversion"/>
  </si>
  <si>
    <t xml:space="preserve">   -1732113.220573    9092044.771852    1732113.220573      -4453.807606      -1566.513180       4453.807606</t>
  </si>
  <si>
    <t xml:space="preserve">    2043922.166765    8186504.631471    4343461.714791      -5379.544693       -407.095342       3516.052656</t>
  </si>
  <si>
    <t>150s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</si>
</sst>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D18" sqref="D18"/>
    </sheetView>
  </sheetViews>
  <sheetFormatPr defaultRowHeight="13.5" x14ac:dyDescent="0.15"/>
  <cols>
    <col min="2" max="2" width="18.625" customWidth="1"/>
    <col min="3" max="3" width="16.75" customWidth="1"/>
    <col min="4" max="4" width="19.625" customWidth="1"/>
    <col min="5" max="5" width="19.25" customWidth="1"/>
    <col min="6" max="6" width="16.75" customWidth="1"/>
    <col min="7" max="7" width="19.125" customWidth="1"/>
  </cols>
  <sheetData>
    <row r="1" spans="1:7" x14ac:dyDescent="0.15">
      <c r="A1" t="s">
        <v>17</v>
      </c>
    </row>
    <row r="2" spans="1:7" x14ac:dyDescent="0.15">
      <c r="A2" t="s">
        <v>16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15">
      <c r="A3" t="s">
        <v>0</v>
      </c>
      <c r="B3">
        <v>1773808.44385959</v>
      </c>
      <c r="C3">
        <v>8161393.9088717503</v>
      </c>
      <c r="D3">
        <v>4516704.9977585999</v>
      </c>
      <c r="E3">
        <v>-5424.0327390631201</v>
      </c>
      <c r="F3">
        <v>-597.56775704004201</v>
      </c>
      <c r="G3">
        <v>3412.8261187487101</v>
      </c>
    </row>
    <row r="4" spans="1:7" x14ac:dyDescent="0.15">
      <c r="A4" t="s">
        <v>1</v>
      </c>
      <c r="B4">
        <v>1501629.30350387</v>
      </c>
      <c r="C4">
        <v>8126783.2788762003</v>
      </c>
      <c r="D4">
        <v>4684691.3024706803</v>
      </c>
      <c r="E4">
        <v>-5462.1441827287099</v>
      </c>
      <c r="F4">
        <v>-787.05474308923999</v>
      </c>
      <c r="G4">
        <v>3305.7874462220798</v>
      </c>
    </row>
    <row r="5" spans="1:7" x14ac:dyDescent="0.15">
      <c r="A5" t="s">
        <v>2</v>
      </c>
      <c r="B5">
        <v>1227704.1868092199</v>
      </c>
      <c r="C5">
        <v>8082727.2213931503</v>
      </c>
      <c r="D5">
        <v>4847233.2730641002</v>
      </c>
      <c r="E5">
        <v>-5493.8556574241402</v>
      </c>
      <c r="F5">
        <v>-975.34794471022894</v>
      </c>
      <c r="G5">
        <v>3195.06744530079</v>
      </c>
    </row>
    <row r="6" spans="1:7" x14ac:dyDescent="0.15">
      <c r="A6" t="s">
        <v>3</v>
      </c>
      <c r="B6">
        <v>952353.53614949796</v>
      </c>
      <c r="C6">
        <v>8029290.5730333803</v>
      </c>
      <c r="D6">
        <v>5004150.1689704098</v>
      </c>
      <c r="E6">
        <v>-5519.1504810340302</v>
      </c>
      <c r="F6">
        <v>-1162.2414789214399</v>
      </c>
      <c r="G6">
        <v>3080.7999012003402</v>
      </c>
    </row>
    <row r="7" spans="1:7" x14ac:dyDescent="0.15">
      <c r="A7" t="s">
        <v>4</v>
      </c>
      <c r="B7">
        <v>675898.46268995397</v>
      </c>
      <c r="C7">
        <v>7966548.39984053</v>
      </c>
      <c r="D7">
        <v>5155268.0100156302</v>
      </c>
      <c r="E7">
        <v>-5538.0185852681298</v>
      </c>
      <c r="F7">
        <v>-1347.53208027594</v>
      </c>
      <c r="G7">
        <v>2963.1214249403702</v>
      </c>
    </row>
    <row r="10" spans="1:7" x14ac:dyDescent="0.15">
      <c r="A10" t="s">
        <v>16</v>
      </c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</row>
    <row r="11" spans="1:7" x14ac:dyDescent="0.15">
      <c r="A11" t="s">
        <v>0</v>
      </c>
      <c r="B11">
        <v>1773806.2201644599</v>
      </c>
      <c r="C11">
        <v>8161384.3854642799</v>
      </c>
      <c r="D11">
        <v>4516699.8360825004</v>
      </c>
      <c r="E11">
        <v>-5424.0327423852104</v>
      </c>
      <c r="F11">
        <v>-597.567781533691</v>
      </c>
      <c r="G11">
        <v>3412.8261037781699</v>
      </c>
    </row>
    <row r="12" spans="1:7" x14ac:dyDescent="0.15">
      <c r="A12" t="s">
        <v>1</v>
      </c>
      <c r="B12">
        <v>1501625.1726329499</v>
      </c>
      <c r="C12">
        <v>8126764.2690313403</v>
      </c>
      <c r="D12">
        <v>4684680.78144731</v>
      </c>
      <c r="E12">
        <v>-5462.1442710297397</v>
      </c>
      <c r="F12">
        <v>-787.05523767444197</v>
      </c>
      <c r="G12">
        <v>3305.7871589358001</v>
      </c>
    </row>
    <row r="13" spans="1:7" x14ac:dyDescent="0.15">
      <c r="A13" t="s">
        <v>21</v>
      </c>
      <c r="B13">
        <v>1227698.4633052901</v>
      </c>
      <c r="C13">
        <v>8082698.7504071901</v>
      </c>
      <c r="D13">
        <v>4847217.1881652903</v>
      </c>
      <c r="E13">
        <v>-5493.8558746342396</v>
      </c>
      <c r="F13">
        <v>-975.34934720070203</v>
      </c>
      <c r="G13">
        <v>3195.0666071810401</v>
      </c>
    </row>
    <row r="14" spans="1:7" x14ac:dyDescent="0.15">
      <c r="A14" t="s">
        <v>3</v>
      </c>
      <c r="B14">
        <v>952346.53413246805</v>
      </c>
      <c r="C14">
        <v>8029252.6548346896</v>
      </c>
      <c r="D14">
        <v>5004128.3079287</v>
      </c>
      <c r="E14">
        <v>-5519.1508332929498</v>
      </c>
      <c r="F14">
        <v>-1162.2442177186199</v>
      </c>
      <c r="G14">
        <v>3080.7982136629998</v>
      </c>
    </row>
    <row r="15" spans="1:7" x14ac:dyDescent="0.15">
      <c r="A15" t="s">
        <v>4</v>
      </c>
      <c r="B15">
        <v>675890.49741682503</v>
      </c>
      <c r="C15">
        <v>7966501.0373689197</v>
      </c>
      <c r="D15">
        <v>5155240.1519894097</v>
      </c>
      <c r="E15">
        <v>-5538.0190408775597</v>
      </c>
      <c r="F15">
        <v>-1347.5365727594301</v>
      </c>
      <c r="G15">
        <v>2963.1185704393802</v>
      </c>
    </row>
    <row r="19" spans="1:8" x14ac:dyDescent="0.15">
      <c r="A19" t="s">
        <v>11</v>
      </c>
      <c r="B19">
        <v>9563702.5975550301</v>
      </c>
      <c r="C19">
        <v>9190064.0030710306</v>
      </c>
    </row>
    <row r="21" spans="1:8" x14ac:dyDescent="0.15">
      <c r="A21" t="s">
        <v>12</v>
      </c>
      <c r="B21">
        <v>9092044.7718519997</v>
      </c>
      <c r="C21">
        <v>1732113.2205729999</v>
      </c>
      <c r="D21">
        <v>1732113.2205729999</v>
      </c>
      <c r="F21">
        <v>9092044.7718519997</v>
      </c>
      <c r="G21">
        <v>1732113.2205729999</v>
      </c>
      <c r="H21">
        <v>1732113.2205729999</v>
      </c>
    </row>
    <row r="24" spans="1:8" x14ac:dyDescent="0.15">
      <c r="A24" t="s">
        <v>13</v>
      </c>
      <c r="B24">
        <v>9096092.9078344703</v>
      </c>
      <c r="C24">
        <v>1732718.4356653399</v>
      </c>
      <c r="D24">
        <v>1732718.4356653399</v>
      </c>
      <c r="F24">
        <v>9093721.4846920706</v>
      </c>
      <c r="G24">
        <v>1733418.66260026</v>
      </c>
      <c r="H24">
        <v>1733418.66260026</v>
      </c>
    </row>
    <row r="25" spans="1:8" x14ac:dyDescent="0.15">
      <c r="A25" t="s">
        <v>15</v>
      </c>
      <c r="B25">
        <f>(B24-B21)/B21</f>
        <v>4.4523933659050866E-4</v>
      </c>
      <c r="C25">
        <f t="shared" ref="C25:H25" si="0">(C24-C21)/C21</f>
        <v>3.4940850583647617E-4</v>
      </c>
      <c r="D25">
        <f t="shared" si="0"/>
        <v>3.4940850583647617E-4</v>
      </c>
      <c r="F25">
        <f t="shared" si="0"/>
        <v>1.84415374334921E-4</v>
      </c>
      <c r="G25">
        <f t="shared" si="0"/>
        <v>7.5367014797579504E-4</v>
      </c>
      <c r="H25">
        <f t="shared" si="0"/>
        <v>7.5367014797579504E-4</v>
      </c>
    </row>
    <row r="26" spans="1:8" x14ac:dyDescent="0.15">
      <c r="A26" t="s">
        <v>18</v>
      </c>
      <c r="B26">
        <v>9100187.1736561898</v>
      </c>
      <c r="C26">
        <v>1733189.8117826299</v>
      </c>
      <c r="D26">
        <v>1733189.8117826299</v>
      </c>
    </row>
    <row r="27" spans="1:8" x14ac:dyDescent="0.15">
      <c r="A27" t="s">
        <v>15</v>
      </c>
      <c r="B27">
        <f>(B26-B24)/B24</f>
        <v>4.5011257725755509E-4</v>
      </c>
      <c r="C27">
        <f t="shared" ref="C27:D27" si="1">(C26-C24)/C24</f>
        <v>2.7204426731282263E-4</v>
      </c>
      <c r="D27">
        <f t="shared" si="1"/>
        <v>2.7204426731282263E-4</v>
      </c>
      <c r="F27">
        <f t="shared" ref="F27" si="2">(F26-F24)/F24</f>
        <v>-1</v>
      </c>
      <c r="G27">
        <f t="shared" ref="G27" si="3">(G26-G24)/G24</f>
        <v>-1</v>
      </c>
      <c r="H27">
        <f t="shared" ref="H27" si="4">(H26-H24)/H24</f>
        <v>-1</v>
      </c>
    </row>
    <row r="28" spans="1:8" x14ac:dyDescent="0.15">
      <c r="A28" t="s">
        <v>14</v>
      </c>
      <c r="B28">
        <v>9132160.8385604993</v>
      </c>
      <c r="C28">
        <v>1739087.5120149299</v>
      </c>
      <c r="D28">
        <v>1739087.5120149299</v>
      </c>
      <c r="F28">
        <v>9111585.6628085598</v>
      </c>
      <c r="G28">
        <v>1737255.6634025499</v>
      </c>
      <c r="H28">
        <v>1737255.6634025499</v>
      </c>
    </row>
    <row r="29" spans="1:8" x14ac:dyDescent="0.15">
      <c r="A29" t="s">
        <v>15</v>
      </c>
      <c r="B29">
        <f>(B28-B21)/B21</f>
        <v>4.4122161422581888E-3</v>
      </c>
      <c r="C29">
        <f>(C28-C21)/C21</f>
        <v>4.0264639511398848E-3</v>
      </c>
      <c r="D29">
        <f>(D28-D21)/D21</f>
        <v>4.0264639511398848E-3</v>
      </c>
      <c r="F29">
        <f t="shared" ref="F29" si="5">(F28-F21)/F21</f>
        <v>2.1492295129316415E-3</v>
      </c>
      <c r="G29">
        <f t="shared" ref="G29:H29" si="6">(G28-G21)/G21</f>
        <v>2.9688837706860994E-3</v>
      </c>
      <c r="H29">
        <f t="shared" si="6"/>
        <v>2.9688837706860994E-3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opLeftCell="A3" workbookViewId="0">
      <selection activeCell="A28" sqref="A28"/>
    </sheetView>
  </sheetViews>
  <sheetFormatPr defaultRowHeight="13.5" x14ac:dyDescent="0.15"/>
  <cols>
    <col min="1" max="1" width="31.75" customWidth="1"/>
  </cols>
  <sheetData>
    <row r="1" spans="1:1" x14ac:dyDescent="0.15">
      <c r="A1" t="s">
        <v>19</v>
      </c>
    </row>
    <row r="2" spans="1:1" x14ac:dyDescent="0.15">
      <c r="A2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2012-09-23T04:59:04Z</dcterms:modified>
</cp:coreProperties>
</file>