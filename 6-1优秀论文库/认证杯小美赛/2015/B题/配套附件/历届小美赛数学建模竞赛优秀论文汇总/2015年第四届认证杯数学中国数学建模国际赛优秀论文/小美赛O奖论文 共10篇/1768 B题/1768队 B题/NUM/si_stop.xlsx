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MATLAB\S_search\"/>
    </mc:Choice>
  </mc:AlternateContent>
  <bookViews>
    <workbookView xWindow="0" yWindow="0" windowWidth="15345" windowHeight="8580"/>
  </bookViews>
  <sheets>
    <sheet name="Sheet1" sheetId="1" r:id="rId1"/>
  </sheets>
  <definedNames>
    <definedName name="ExternalData_1" localSheetId="0">Sheet1!$B$1:$H$47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" i="1" l="1"/>
  <c r="D6" i="1"/>
  <c r="D45" i="1"/>
  <c r="D7" i="1"/>
  <c r="D44" i="1"/>
  <c r="D8" i="1"/>
  <c r="D9" i="1"/>
  <c r="D11" i="1"/>
  <c r="D15" i="1"/>
  <c r="D18" i="1"/>
  <c r="D41" i="1"/>
  <c r="D20" i="1"/>
  <c r="D40" i="1"/>
  <c r="D21" i="1"/>
  <c r="D22" i="1"/>
  <c r="D23" i="1"/>
  <c r="D39" i="1"/>
  <c r="D24" i="1"/>
  <c r="D25" i="1"/>
  <c r="D38" i="1"/>
  <c r="D36" i="1"/>
  <c r="D28" i="1"/>
  <c r="D29" i="1"/>
  <c r="D35" i="1"/>
  <c r="D30" i="1"/>
  <c r="D33" i="1"/>
  <c r="D32" i="1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stationpt.html" htmlTables="1">
      <tables count="1">
        <x v="1"/>
      </tables>
    </webPr>
  </connection>
</connections>
</file>

<file path=xl/sharedStrings.xml><?xml version="1.0" encoding="utf-8"?>
<sst xmlns="http://schemas.openxmlformats.org/spreadsheetml/2006/main" count="96" uniqueCount="83">
  <si>
    <t>Name</t>
  </si>
  <si>
    <t>Latitude</t>
  </si>
  <si>
    <t>Longitude</t>
  </si>
  <si>
    <t>Height</t>
  </si>
  <si>
    <t>Adelaide</t>
  </si>
  <si>
    <t>26m</t>
  </si>
  <si>
    <t>Almirante_Brown</t>
  </si>
  <si>
    <t>7m</t>
  </si>
  <si>
    <t>Amundsen_Scott</t>
  </si>
  <si>
    <t>2835m</t>
  </si>
  <si>
    <t>Arturo_Prat</t>
  </si>
  <si>
    <t>5m</t>
  </si>
  <si>
    <t>Asuka</t>
  </si>
  <si>
    <t>931m</t>
  </si>
  <si>
    <t>Belgrano_I</t>
  </si>
  <si>
    <t>50m</t>
  </si>
  <si>
    <t>Belgrano_II</t>
  </si>
  <si>
    <t>256m</t>
  </si>
  <si>
    <t>16m</t>
  </si>
  <si>
    <t>Byrd</t>
  </si>
  <si>
    <t>1515m</t>
  </si>
  <si>
    <t>Campbell</t>
  </si>
  <si>
    <t>19m</t>
  </si>
  <si>
    <t>42m</t>
  </si>
  <si>
    <t>Davis</t>
  </si>
  <si>
    <t>13m</t>
  </si>
  <si>
    <t>Deception</t>
  </si>
  <si>
    <t>8m</t>
  </si>
  <si>
    <t>Dumont_Durville</t>
  </si>
  <si>
    <t>43m</t>
  </si>
  <si>
    <t>Esperanza</t>
  </si>
  <si>
    <t>11m</t>
  </si>
  <si>
    <t>Ferraz</t>
  </si>
  <si>
    <t>20m</t>
  </si>
  <si>
    <t>Gough</t>
  </si>
  <si>
    <t>54m</t>
  </si>
  <si>
    <t>Great_Wall</t>
  </si>
  <si>
    <t>10m</t>
  </si>
  <si>
    <t>Grytviken</t>
  </si>
  <si>
    <t>3m</t>
  </si>
  <si>
    <t>Halley</t>
  </si>
  <si>
    <t>30m</t>
  </si>
  <si>
    <t>Jubany</t>
  </si>
  <si>
    <t>4m</t>
  </si>
  <si>
    <t>King_Sejong</t>
  </si>
  <si>
    <t>Leningradskaja</t>
  </si>
  <si>
    <t>304m</t>
  </si>
  <si>
    <t>Macquarie</t>
  </si>
  <si>
    <t>Marambio</t>
  </si>
  <si>
    <t>198m</t>
  </si>
  <si>
    <t>Marion</t>
  </si>
  <si>
    <t>24m</t>
  </si>
  <si>
    <t>Mario_Zucchelli</t>
  </si>
  <si>
    <t>92m</t>
  </si>
  <si>
    <t>Marsh</t>
  </si>
  <si>
    <t>Mawson</t>
  </si>
  <si>
    <t>McMurdo</t>
  </si>
  <si>
    <t>Mirny</t>
  </si>
  <si>
    <t>Molodeznaja</t>
  </si>
  <si>
    <t>40m</t>
  </si>
  <si>
    <t>Neumayer</t>
  </si>
  <si>
    <t>Novolazarevskaya</t>
  </si>
  <si>
    <t>119m</t>
  </si>
  <si>
    <t>O_Higgins</t>
  </si>
  <si>
    <t>Orcadas</t>
  </si>
  <si>
    <t>6m</t>
  </si>
  <si>
    <t>Primavera</t>
  </si>
  <si>
    <t>32m</t>
  </si>
  <si>
    <t>Russkaya</t>
  </si>
  <si>
    <t>124m</t>
  </si>
  <si>
    <t>San_Martin</t>
  </si>
  <si>
    <t>Scott_Base</t>
  </si>
  <si>
    <t>Signy</t>
  </si>
  <si>
    <t>Syowa</t>
  </si>
  <si>
    <t>21m</t>
  </si>
  <si>
    <t>Vostok</t>
  </si>
  <si>
    <t>3490m</t>
  </si>
  <si>
    <t>Zhongshan</t>
  </si>
  <si>
    <t>18m</t>
  </si>
  <si>
    <t>Rothera</t>
    <phoneticPr fontId="1" type="noConversion"/>
  </si>
  <si>
    <t>Faraday\Vernadsky</t>
    <phoneticPr fontId="1" type="noConversion"/>
  </si>
  <si>
    <t>Casey</t>
    <phoneticPr fontId="1" type="noConversion"/>
  </si>
  <si>
    <t>Bellingshausen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</si>
</sst>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topLeftCell="A23" workbookViewId="0">
      <selection activeCell="D2" sqref="D2:D31"/>
    </sheetView>
  </sheetViews>
  <sheetFormatPr defaultRowHeight="13.5" x14ac:dyDescent="0.15"/>
  <cols>
    <col min="2" max="2" width="19.375" bestFit="1" customWidth="1"/>
    <col min="3" max="3" width="9.5" bestFit="1" customWidth="1"/>
    <col min="4" max="4" width="10.5" bestFit="1" customWidth="1"/>
    <col min="5" max="5" width="7.5" bestFit="1" customWidth="1"/>
    <col min="6" max="8" width="22.75" bestFit="1" customWidth="1"/>
  </cols>
  <sheetData>
    <row r="1" spans="1:5" x14ac:dyDescent="0.15">
      <c r="B1" t="s">
        <v>0</v>
      </c>
      <c r="C1" t="s">
        <v>1</v>
      </c>
      <c r="D1" t="s">
        <v>2</v>
      </c>
      <c r="E1" t="s">
        <v>3</v>
      </c>
    </row>
    <row r="2" spans="1:5" x14ac:dyDescent="0.15">
      <c r="A2">
        <v>1</v>
      </c>
      <c r="B2" t="s">
        <v>28</v>
      </c>
      <c r="C2">
        <v>66.7</v>
      </c>
      <c r="D2">
        <v>140</v>
      </c>
      <c r="E2" t="s">
        <v>29</v>
      </c>
    </row>
    <row r="3" spans="1:5" x14ac:dyDescent="0.15">
      <c r="A3">
        <v>2</v>
      </c>
      <c r="B3" t="s">
        <v>77</v>
      </c>
      <c r="C3">
        <v>69.400000000000006</v>
      </c>
      <c r="D3">
        <v>76.400000000000006</v>
      </c>
      <c r="E3" t="s">
        <v>78</v>
      </c>
    </row>
    <row r="4" spans="1:5" x14ac:dyDescent="0.15">
      <c r="A4">
        <v>3</v>
      </c>
      <c r="B4" t="s">
        <v>75</v>
      </c>
      <c r="C4">
        <v>78.5</v>
      </c>
      <c r="D4">
        <v>106.9</v>
      </c>
      <c r="E4" t="s">
        <v>76</v>
      </c>
    </row>
    <row r="5" spans="1:5" x14ac:dyDescent="0.15">
      <c r="A5">
        <v>4</v>
      </c>
      <c r="B5" t="s">
        <v>73</v>
      </c>
      <c r="C5">
        <v>69</v>
      </c>
      <c r="D5">
        <v>39.6</v>
      </c>
      <c r="E5" t="s">
        <v>74</v>
      </c>
    </row>
    <row r="6" spans="1:5" x14ac:dyDescent="0.15">
      <c r="A6">
        <v>5</v>
      </c>
      <c r="B6" t="s">
        <v>70</v>
      </c>
      <c r="C6">
        <v>68.099999999999994</v>
      </c>
      <c r="D6">
        <f>-(67.1)</f>
        <v>-67.099999999999994</v>
      </c>
      <c r="E6" t="s">
        <v>43</v>
      </c>
    </row>
    <row r="7" spans="1:5" x14ac:dyDescent="0.15">
      <c r="A7">
        <v>6</v>
      </c>
      <c r="B7" t="s">
        <v>79</v>
      </c>
      <c r="C7">
        <v>67.5</v>
      </c>
      <c r="D7">
        <f>-(68.1)</f>
        <v>-68.099999999999994</v>
      </c>
      <c r="E7" t="s">
        <v>67</v>
      </c>
    </row>
    <row r="8" spans="1:5" x14ac:dyDescent="0.15">
      <c r="A8">
        <v>7</v>
      </c>
      <c r="B8" t="s">
        <v>64</v>
      </c>
      <c r="C8">
        <v>60.7</v>
      </c>
      <c r="D8">
        <f>-(44.7)</f>
        <v>-44.7</v>
      </c>
      <c r="E8" t="s">
        <v>65</v>
      </c>
    </row>
    <row r="9" spans="1:5" x14ac:dyDescent="0.15">
      <c r="A9">
        <v>8</v>
      </c>
      <c r="B9" t="s">
        <v>63</v>
      </c>
      <c r="C9">
        <v>63.3</v>
      </c>
      <c r="D9">
        <f>-(57.9)</f>
        <v>-57.9</v>
      </c>
      <c r="E9" t="s">
        <v>37</v>
      </c>
    </row>
    <row r="10" spans="1:5" x14ac:dyDescent="0.15">
      <c r="A10">
        <v>9</v>
      </c>
      <c r="B10" t="s">
        <v>61</v>
      </c>
      <c r="C10">
        <v>70.8</v>
      </c>
      <c r="D10">
        <v>11.8</v>
      </c>
      <c r="E10" t="s">
        <v>62</v>
      </c>
    </row>
    <row r="11" spans="1:5" x14ac:dyDescent="0.15">
      <c r="A11">
        <v>10</v>
      </c>
      <c r="B11" t="s">
        <v>60</v>
      </c>
      <c r="C11">
        <v>70.7</v>
      </c>
      <c r="D11">
        <f>-(8.4)</f>
        <v>-8.4</v>
      </c>
      <c r="E11" t="s">
        <v>15</v>
      </c>
    </row>
    <row r="12" spans="1:5" x14ac:dyDescent="0.15">
      <c r="A12">
        <v>11</v>
      </c>
      <c r="B12" t="s">
        <v>57</v>
      </c>
      <c r="C12">
        <v>66.5</v>
      </c>
      <c r="D12">
        <v>93</v>
      </c>
      <c r="E12" t="s">
        <v>41</v>
      </c>
    </row>
    <row r="13" spans="1:5" x14ac:dyDescent="0.15">
      <c r="A13">
        <v>12</v>
      </c>
      <c r="B13" t="s">
        <v>56</v>
      </c>
      <c r="C13">
        <v>77.900000000000006</v>
      </c>
      <c r="D13">
        <v>166.7</v>
      </c>
      <c r="E13" t="s">
        <v>51</v>
      </c>
    </row>
    <row r="14" spans="1:5" x14ac:dyDescent="0.15">
      <c r="A14">
        <v>13</v>
      </c>
      <c r="B14" t="s">
        <v>55</v>
      </c>
      <c r="C14">
        <v>67.599999999999994</v>
      </c>
      <c r="D14">
        <v>62.9</v>
      </c>
      <c r="E14" t="s">
        <v>18</v>
      </c>
    </row>
    <row r="15" spans="1:5" x14ac:dyDescent="0.15">
      <c r="A15">
        <v>14</v>
      </c>
      <c r="B15" t="s">
        <v>54</v>
      </c>
      <c r="C15">
        <v>62.2</v>
      </c>
      <c r="D15">
        <f>-(58.9)</f>
        <v>-58.9</v>
      </c>
      <c r="E15" t="s">
        <v>37</v>
      </c>
    </row>
    <row r="16" spans="1:5" x14ac:dyDescent="0.15">
      <c r="A16">
        <v>15</v>
      </c>
      <c r="B16" t="s">
        <v>50</v>
      </c>
      <c r="C16">
        <v>46.8</v>
      </c>
      <c r="D16">
        <v>37.799999999999997</v>
      </c>
      <c r="E16" t="s">
        <v>51</v>
      </c>
    </row>
    <row r="17" spans="1:5" x14ac:dyDescent="0.15">
      <c r="A17">
        <v>16</v>
      </c>
      <c r="B17" t="s">
        <v>52</v>
      </c>
      <c r="C17">
        <v>74.7</v>
      </c>
      <c r="D17">
        <v>164.1</v>
      </c>
      <c r="E17" t="s">
        <v>53</v>
      </c>
    </row>
    <row r="18" spans="1:5" x14ac:dyDescent="0.15">
      <c r="A18">
        <v>17</v>
      </c>
      <c r="B18" t="s">
        <v>48</v>
      </c>
      <c r="C18">
        <v>64.2</v>
      </c>
      <c r="D18">
        <f>-(56.7)</f>
        <v>-56.7</v>
      </c>
      <c r="E18" t="s">
        <v>49</v>
      </c>
    </row>
    <row r="19" spans="1:5" x14ac:dyDescent="0.15">
      <c r="A19">
        <v>18</v>
      </c>
      <c r="B19" t="s">
        <v>47</v>
      </c>
      <c r="C19">
        <v>54.5</v>
      </c>
      <c r="D19">
        <v>158.9</v>
      </c>
      <c r="E19" t="s">
        <v>27</v>
      </c>
    </row>
    <row r="20" spans="1:5" x14ac:dyDescent="0.15">
      <c r="A20">
        <v>19</v>
      </c>
      <c r="B20" t="s">
        <v>42</v>
      </c>
      <c r="C20">
        <v>62.2</v>
      </c>
      <c r="D20">
        <f>-(58.6)</f>
        <v>-58.6</v>
      </c>
      <c r="E20" t="s">
        <v>43</v>
      </c>
    </row>
    <row r="21" spans="1:5" x14ac:dyDescent="0.15">
      <c r="A21">
        <v>20</v>
      </c>
      <c r="B21" t="s">
        <v>38</v>
      </c>
      <c r="C21">
        <v>54.3</v>
      </c>
      <c r="D21">
        <f>-(36.5)</f>
        <v>-36.5</v>
      </c>
      <c r="E21" t="s">
        <v>39</v>
      </c>
    </row>
    <row r="22" spans="1:5" x14ac:dyDescent="0.15">
      <c r="A22">
        <v>21</v>
      </c>
      <c r="B22" t="s">
        <v>36</v>
      </c>
      <c r="C22">
        <v>62.2</v>
      </c>
      <c r="D22">
        <f>-(59)</f>
        <v>-59</v>
      </c>
      <c r="E22" t="s">
        <v>37</v>
      </c>
    </row>
    <row r="23" spans="1:5" x14ac:dyDescent="0.15">
      <c r="A23">
        <v>22</v>
      </c>
      <c r="B23" t="s">
        <v>34</v>
      </c>
      <c r="C23">
        <v>40.4</v>
      </c>
      <c r="D23">
        <f>-(9.9)</f>
        <v>-9.9</v>
      </c>
      <c r="E23" t="s">
        <v>35</v>
      </c>
    </row>
    <row r="24" spans="1:5" x14ac:dyDescent="0.15">
      <c r="A24">
        <v>23</v>
      </c>
      <c r="B24" t="s">
        <v>80</v>
      </c>
      <c r="C24">
        <v>65.400000000000006</v>
      </c>
      <c r="D24">
        <f>-(64.4)</f>
        <v>-64.400000000000006</v>
      </c>
      <c r="E24" t="s">
        <v>31</v>
      </c>
    </row>
    <row r="25" spans="1:5" x14ac:dyDescent="0.15">
      <c r="A25">
        <v>24</v>
      </c>
      <c r="B25" t="s">
        <v>30</v>
      </c>
      <c r="C25">
        <v>63.4</v>
      </c>
      <c r="D25">
        <f>-(57)</f>
        <v>-57</v>
      </c>
      <c r="E25" t="s">
        <v>25</v>
      </c>
    </row>
    <row r="26" spans="1:5" x14ac:dyDescent="0.15">
      <c r="A26">
        <v>25</v>
      </c>
      <c r="B26" t="s">
        <v>24</v>
      </c>
      <c r="C26">
        <v>68.599999999999994</v>
      </c>
      <c r="D26">
        <v>78</v>
      </c>
      <c r="E26" t="s">
        <v>25</v>
      </c>
    </row>
    <row r="27" spans="1:5" x14ac:dyDescent="0.15">
      <c r="A27">
        <v>26</v>
      </c>
      <c r="B27" t="s">
        <v>81</v>
      </c>
      <c r="C27">
        <v>66.3</v>
      </c>
      <c r="D27">
        <v>110.5</v>
      </c>
      <c r="E27" t="s">
        <v>23</v>
      </c>
    </row>
    <row r="28" spans="1:5" x14ac:dyDescent="0.15">
      <c r="A28">
        <v>27</v>
      </c>
      <c r="B28" t="s">
        <v>82</v>
      </c>
      <c r="C28">
        <v>62.2</v>
      </c>
      <c r="D28">
        <f>-(58.9)</f>
        <v>-58.9</v>
      </c>
      <c r="E28" t="s">
        <v>18</v>
      </c>
    </row>
    <row r="29" spans="1:5" x14ac:dyDescent="0.15">
      <c r="A29">
        <v>28</v>
      </c>
      <c r="B29" t="s">
        <v>16</v>
      </c>
      <c r="C29">
        <v>77.900000000000006</v>
      </c>
      <c r="D29">
        <f>-(34.6)</f>
        <v>-34.6</v>
      </c>
      <c r="E29" t="s">
        <v>17</v>
      </c>
    </row>
    <row r="30" spans="1:5" x14ac:dyDescent="0.15">
      <c r="A30">
        <v>29</v>
      </c>
      <c r="B30" t="s">
        <v>10</v>
      </c>
      <c r="C30">
        <v>62.5</v>
      </c>
      <c r="D30">
        <f>-(59.7)</f>
        <v>-59.7</v>
      </c>
      <c r="E30" t="s">
        <v>11</v>
      </c>
    </row>
    <row r="31" spans="1:5" x14ac:dyDescent="0.15">
      <c r="A31">
        <v>30</v>
      </c>
      <c r="B31" t="s">
        <v>8</v>
      </c>
      <c r="C31">
        <v>90</v>
      </c>
      <c r="D31">
        <v>0</v>
      </c>
      <c r="E31" t="s">
        <v>9</v>
      </c>
    </row>
    <row r="32" spans="1:5" x14ac:dyDescent="0.15">
      <c r="B32" t="s">
        <v>4</v>
      </c>
      <c r="C32">
        <v>67.8</v>
      </c>
      <c r="D32">
        <f>-(68.9)</f>
        <v>-68.900000000000006</v>
      </c>
      <c r="E32" t="s">
        <v>5</v>
      </c>
    </row>
    <row r="33" spans="2:5" x14ac:dyDescent="0.15">
      <c r="B33" t="s">
        <v>6</v>
      </c>
      <c r="C33">
        <v>64.900000000000006</v>
      </c>
      <c r="D33">
        <f>-(62.9)</f>
        <v>-62.9</v>
      </c>
      <c r="E33" t="s">
        <v>7</v>
      </c>
    </row>
    <row r="34" spans="2:5" x14ac:dyDescent="0.15">
      <c r="B34" t="s">
        <v>12</v>
      </c>
      <c r="C34">
        <v>71.5</v>
      </c>
      <c r="D34">
        <v>24.1</v>
      </c>
      <c r="E34" t="s">
        <v>13</v>
      </c>
    </row>
    <row r="35" spans="2:5" x14ac:dyDescent="0.15">
      <c r="B35" t="s">
        <v>14</v>
      </c>
      <c r="C35">
        <v>78</v>
      </c>
      <c r="D35">
        <f>-(38.8)</f>
        <v>-38.799999999999997</v>
      </c>
      <c r="E35" t="s">
        <v>15</v>
      </c>
    </row>
    <row r="36" spans="2:5" x14ac:dyDescent="0.15">
      <c r="B36" t="s">
        <v>19</v>
      </c>
      <c r="C36">
        <v>80</v>
      </c>
      <c r="D36">
        <f>-(120)</f>
        <v>-120</v>
      </c>
      <c r="E36" t="s">
        <v>20</v>
      </c>
    </row>
    <row r="37" spans="2:5" x14ac:dyDescent="0.15">
      <c r="B37" t="s">
        <v>21</v>
      </c>
      <c r="C37">
        <v>52</v>
      </c>
      <c r="D37">
        <v>169</v>
      </c>
      <c r="E37" t="s">
        <v>22</v>
      </c>
    </row>
    <row r="38" spans="2:5" x14ac:dyDescent="0.15">
      <c r="B38" t="s">
        <v>26</v>
      </c>
      <c r="C38">
        <v>63</v>
      </c>
      <c r="D38">
        <f>-(60.7)</f>
        <v>-60.7</v>
      </c>
      <c r="E38" t="s">
        <v>27</v>
      </c>
    </row>
    <row r="39" spans="2:5" x14ac:dyDescent="0.15">
      <c r="B39" t="s">
        <v>32</v>
      </c>
      <c r="C39">
        <v>62.1</v>
      </c>
      <c r="D39">
        <f>-(58.4)</f>
        <v>-58.4</v>
      </c>
      <c r="E39" t="s">
        <v>33</v>
      </c>
    </row>
    <row r="40" spans="2:5" x14ac:dyDescent="0.15">
      <c r="B40" t="s">
        <v>40</v>
      </c>
      <c r="C40">
        <v>75.5</v>
      </c>
      <c r="D40">
        <f>-(26.4)</f>
        <v>-26.4</v>
      </c>
      <c r="E40" t="s">
        <v>41</v>
      </c>
    </row>
    <row r="41" spans="2:5" x14ac:dyDescent="0.15">
      <c r="B41" t="s">
        <v>44</v>
      </c>
      <c r="C41">
        <v>62.2</v>
      </c>
      <c r="D41">
        <f>-(58.7)</f>
        <v>-58.7</v>
      </c>
      <c r="E41" t="s">
        <v>31</v>
      </c>
    </row>
    <row r="42" spans="2:5" x14ac:dyDescent="0.15">
      <c r="B42" t="s">
        <v>45</v>
      </c>
      <c r="C42">
        <v>69.5</v>
      </c>
      <c r="D42">
        <v>159.4</v>
      </c>
      <c r="E42" t="s">
        <v>46</v>
      </c>
    </row>
    <row r="43" spans="2:5" x14ac:dyDescent="0.15">
      <c r="B43" t="s">
        <v>58</v>
      </c>
      <c r="C43">
        <v>67.7</v>
      </c>
      <c r="D43">
        <v>45.9</v>
      </c>
      <c r="E43" t="s">
        <v>59</v>
      </c>
    </row>
    <row r="44" spans="2:5" x14ac:dyDescent="0.15">
      <c r="B44" t="s">
        <v>66</v>
      </c>
      <c r="C44">
        <v>64.2</v>
      </c>
      <c r="D44">
        <f>-(61)</f>
        <v>-61</v>
      </c>
      <c r="E44" t="s">
        <v>15</v>
      </c>
    </row>
    <row r="45" spans="2:5" x14ac:dyDescent="0.15">
      <c r="B45" t="s">
        <v>68</v>
      </c>
      <c r="C45">
        <v>74.8</v>
      </c>
      <c r="D45">
        <f>-(136.9)</f>
        <v>-136.9</v>
      </c>
      <c r="E45" t="s">
        <v>69</v>
      </c>
    </row>
    <row r="46" spans="2:5" x14ac:dyDescent="0.15">
      <c r="B46" t="s">
        <v>71</v>
      </c>
      <c r="C46">
        <v>77.900000000000006</v>
      </c>
      <c r="D46">
        <v>166.7</v>
      </c>
      <c r="E46" t="s">
        <v>18</v>
      </c>
    </row>
    <row r="47" spans="2:5" x14ac:dyDescent="0.15">
      <c r="B47" t="s">
        <v>72</v>
      </c>
      <c r="C47">
        <v>60.7</v>
      </c>
      <c r="D47">
        <f>-(45.6)</f>
        <v>-45.6</v>
      </c>
      <c r="E47" t="s">
        <v>65</v>
      </c>
    </row>
  </sheetData>
  <sortState ref="A2:E47">
    <sortCondition ref="A1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</cp:lastModifiedBy>
  <dcterms:created xsi:type="dcterms:W3CDTF">2015-11-27T09:17:08Z</dcterms:created>
  <dcterms:modified xsi:type="dcterms:W3CDTF">2015-11-29T17:28:22Z</dcterms:modified>
</cp:coreProperties>
</file>